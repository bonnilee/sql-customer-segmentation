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6A\EXCELCNV\d00bdad7-5ac6-42a6-b877-e61af4dd1166\"/>
    </mc:Choice>
  </mc:AlternateContent>
  <xr:revisionPtr revIDLastSave="0" documentId="8_{8C83C115-D23A-4566-94AF-B8ADEEC40D51}" xr6:coauthVersionLast="47" xr6:coauthVersionMax="47" xr10:uidLastSave="{00000000-0000-0000-0000-000000000000}"/>
  <bookViews>
    <workbookView xWindow="-60" yWindow="-60" windowWidth="15480" windowHeight="11640" firstSheet="3" activeTab="4" xr2:uid="{13EA4A2B-BEF9-4EA6-A77F-EE0D12BA4BF4}"/>
  </bookViews>
  <sheets>
    <sheet name="customers" sheetId="1" r:id="rId1"/>
    <sheet name="revenue trends" sheetId="5" r:id="rId2"/>
    <sheet name="orders" sheetId="2" r:id="rId3"/>
    <sheet name="pivot" sheetId="3" r:id="rId4"/>
    <sheet name="dashboard" sheetId="4" r:id="rId5"/>
  </sheets>
  <calcPr calcId="191028"/>
  <pivotCaches>
    <pivotCache cacheId="844" r:id="rId6"/>
    <pivotCache cacheId="84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E52" i="4"/>
  <c r="E51" i="4"/>
  <c r="E50" i="4"/>
  <c r="E3" i="1"/>
  <c r="E4" i="1"/>
  <c r="E5" i="1"/>
  <c r="E6" i="1"/>
  <c r="E2" i="1"/>
  <c r="F3" i="1"/>
  <c r="F4" i="1"/>
  <c r="F5" i="1"/>
  <c r="F6" i="1"/>
  <c r="F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2" i="2"/>
  <c r="H4" i="4"/>
  <c r="A4" i="4"/>
  <c r="D3" i="1"/>
  <c r="D4" i="1"/>
  <c r="D5" i="1"/>
  <c r="D6" i="1"/>
  <c r="D2" i="1"/>
  <c r="C3" i="2" l="1"/>
  <c r="C11" i="2"/>
  <c r="C12" i="2"/>
  <c r="C20" i="2"/>
  <c r="C21" i="2"/>
  <c r="C29" i="2"/>
  <c r="C30" i="2"/>
  <c r="C38" i="2"/>
  <c r="C39" i="2"/>
  <c r="C2" i="2"/>
  <c r="C8" i="2"/>
  <c r="C9" i="2"/>
  <c r="C10" i="2"/>
  <c r="C17" i="2"/>
  <c r="C18" i="2"/>
  <c r="C19" i="2"/>
  <c r="C26" i="2"/>
  <c r="C27" i="2"/>
  <c r="C28" i="2"/>
  <c r="C35" i="2"/>
  <c r="C36" i="2"/>
  <c r="C37" i="2"/>
  <c r="C44" i="2"/>
  <c r="C45" i="2"/>
  <c r="C46" i="2"/>
  <c r="C7" i="2"/>
  <c r="C16" i="2"/>
  <c r="C25" i="2"/>
  <c r="C34" i="2"/>
  <c r="C43" i="2"/>
  <c r="C5" i="2"/>
  <c r="C6" i="2"/>
  <c r="C14" i="2"/>
  <c r="C15" i="2"/>
  <c r="C23" i="2"/>
  <c r="C24" i="2"/>
  <c r="C32" i="2"/>
  <c r="C33" i="2"/>
  <c r="C41" i="2"/>
  <c r="C42" i="2"/>
  <c r="C4" i="2"/>
  <c r="C13" i="2"/>
  <c r="C22" i="2"/>
  <c r="C31" i="2"/>
  <c r="C40" i="2"/>
</calcChain>
</file>

<file path=xl/sharedStrings.xml><?xml version="1.0" encoding="utf-8"?>
<sst xmlns="http://schemas.openxmlformats.org/spreadsheetml/2006/main" count="65" uniqueCount="57">
  <si>
    <t>customer_id</t>
  </si>
  <si>
    <t>first_name</t>
  </si>
  <si>
    <t>last_name</t>
  </si>
  <si>
    <t>full name</t>
  </si>
  <si>
    <t>customer_tier</t>
  </si>
  <si>
    <t>total_spend</t>
  </si>
  <si>
    <t>age</t>
  </si>
  <si>
    <t>gender</t>
  </si>
  <si>
    <t>location</t>
  </si>
  <si>
    <t>signup_date</t>
  </si>
  <si>
    <t>Jen</t>
  </si>
  <si>
    <t>South</t>
  </si>
  <si>
    <t>F</t>
  </si>
  <si>
    <t>New York</t>
  </si>
  <si>
    <t>Edward</t>
  </si>
  <si>
    <t>Juan</t>
  </si>
  <si>
    <t>M</t>
  </si>
  <si>
    <t>Chicago</t>
  </si>
  <si>
    <t>Tara</t>
  </si>
  <si>
    <t>Davis</t>
  </si>
  <si>
    <t>San Francisco</t>
  </si>
  <si>
    <t>Michael</t>
  </si>
  <si>
    <t>Queen</t>
  </si>
  <si>
    <t>Austin</t>
  </si>
  <si>
    <t>Justin</t>
  </si>
  <si>
    <t>Case</t>
  </si>
  <si>
    <t>Tampa Bay</t>
  </si>
  <si>
    <t>year-month</t>
  </si>
  <si>
    <t>Sum of order_amount</t>
  </si>
  <si>
    <t>2024-01</t>
  </si>
  <si>
    <t>2024-03</t>
  </si>
  <si>
    <t>2024-04</t>
  </si>
  <si>
    <t>2024-08</t>
  </si>
  <si>
    <t>2025-01</t>
  </si>
  <si>
    <t>2025-02</t>
  </si>
  <si>
    <t>2025-03</t>
  </si>
  <si>
    <t>2025-05</t>
  </si>
  <si>
    <t>Grand Total</t>
  </si>
  <si>
    <t>order_id</t>
  </si>
  <si>
    <t>customer_names</t>
  </si>
  <si>
    <t>order_date</t>
  </si>
  <si>
    <t>order_amount</t>
  </si>
  <si>
    <t>Edward Juan</t>
  </si>
  <si>
    <t>Jen South</t>
  </si>
  <si>
    <t>Justin Case</t>
  </si>
  <si>
    <t>Michael Queen</t>
  </si>
  <si>
    <t>Tara Davis</t>
  </si>
  <si>
    <t>Customer Analysis Dashboard</t>
  </si>
  <si>
    <t>Total Revenue</t>
  </si>
  <si>
    <t>Total Orders</t>
  </si>
  <si>
    <t>Total Customers</t>
  </si>
  <si>
    <t>Average Total Value</t>
  </si>
  <si>
    <t>Customer Tier</t>
  </si>
  <si>
    <t>Number of Customers</t>
  </si>
  <si>
    <t>top customer</t>
  </si>
  <si>
    <t>high value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</si>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</sst>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BBBEBF"/>
      <name val="Calibri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6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20" fillId="0" borderId="0" xfId="0" applyFont="1" applyAlignment="1">
      <alignment wrapText="1"/>
    </xf>
    <xf numFmtId="0" fontId="2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wrapText="1"/>
    </xf>
    <xf numFmtId="164" fontId="21" fillId="0" borderId="0" xfId="0" applyNumberFormat="1" applyFont="1"/>
    <xf numFmtId="0" fontId="21" fillId="0" borderId="0" xfId="0" applyFont="1"/>
    <xf numFmtId="2" fontId="21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3" fillId="0" borderId="0" xfId="0" applyFont="1"/>
    <xf numFmtId="0" fontId="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[customer_segmentation_dashboard.xlsx]pivot!PivotTable1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Total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pivot!$A$4:$A$9</c:f>
              <c:strCache>
                <c:ptCount val="5"/>
                <c:pt idx="0">
                  <c:v>Edward Juan</c:v>
                </c:pt>
                <c:pt idx="1">
                  <c:v>Jen South</c:v>
                </c:pt>
                <c:pt idx="2">
                  <c:v>Justin Case</c:v>
                </c:pt>
                <c:pt idx="3">
                  <c:v>Michael Queen</c:v>
                </c:pt>
                <c:pt idx="4">
                  <c:v>Tara Davis</c:v>
                </c:pt>
              </c:strCache>
            </c:strRef>
          </c:cat>
          <c:val>
            <c:numRef>
              <c:f>pivot!$B$4:$B$9</c:f>
              <c:numCache>
                <c:formatCode>"$"#,##0.00</c:formatCode>
                <c:ptCount val="5"/>
                <c:pt idx="0">
                  <c:v>1000</c:v>
                </c:pt>
                <c:pt idx="1">
                  <c:v>1002.5</c:v>
                </c:pt>
                <c:pt idx="2">
                  <c:v>1425</c:v>
                </c:pt>
                <c:pt idx="3">
                  <c:v>1500</c:v>
                </c:pt>
                <c:pt idx="4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1-426E-9E24-76F34D62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63304"/>
        <c:axId val="1691810824"/>
      </c:barChart>
      <c:catAx>
        <c:axId val="91063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10824"/>
        <c:crosses val="autoZero"/>
        <c:auto val="1"/>
        <c:lblAlgn val="ctr"/>
        <c:lblOffset val="100"/>
        <c:noMultiLvlLbl val="0"/>
      </c:catAx>
      <c:valAx>
        <c:axId val="169181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[customer_segmentation_dashboard.xlsx]revenue trends!PivotTable2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trends'!$A$4:$A$12</c:f>
              <c:strCache>
                <c:ptCount val="8"/>
                <c:pt idx="0">
                  <c:v>2024-01</c:v>
                </c:pt>
                <c:pt idx="1">
                  <c:v>2024-03</c:v>
                </c:pt>
                <c:pt idx="2">
                  <c:v>2024-04</c:v>
                </c:pt>
                <c:pt idx="3">
                  <c:v>2024-08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2025-05</c:v>
                </c:pt>
              </c:strCache>
            </c:strRef>
          </c:cat>
          <c:val>
            <c:numRef>
              <c:f>'revenue trends'!$B$4:$B$12</c:f>
              <c:numCache>
                <c:formatCode>"$"#,##0.00</c:formatCode>
                <c:ptCount val="8"/>
                <c:pt idx="0">
                  <c:v>602.5</c:v>
                </c:pt>
                <c:pt idx="1">
                  <c:v>250</c:v>
                </c:pt>
                <c:pt idx="2">
                  <c:v>375</c:v>
                </c:pt>
                <c:pt idx="3">
                  <c:v>300</c:v>
                </c:pt>
                <c:pt idx="4">
                  <c:v>750</c:v>
                </c:pt>
                <c:pt idx="5">
                  <c:v>1000</c:v>
                </c:pt>
                <c:pt idx="6">
                  <c:v>775</c:v>
                </c:pt>
                <c:pt idx="7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0-42C2-A67F-235E31DC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488072"/>
        <c:axId val="846490120"/>
      </c:lineChart>
      <c:catAx>
        <c:axId val="84648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90120"/>
        <c:crosses val="autoZero"/>
        <c:auto val="1"/>
        <c:lblAlgn val="ctr"/>
        <c:lblOffset val="100"/>
        <c:noMultiLvlLbl val="0"/>
      </c:catAx>
      <c:valAx>
        <c:axId val="84649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8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dashboard!$E$49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dashboard!$C$50:$C$52</c:f>
              <c:strCache>
                <c:ptCount val="3"/>
                <c:pt idx="0">
                  <c:v>top customer</c:v>
                </c:pt>
                <c:pt idx="1">
                  <c:v>high value</c:v>
                </c:pt>
                <c:pt idx="2">
                  <c:v>regular</c:v>
                </c:pt>
              </c:strCache>
            </c:strRef>
          </c:cat>
          <c:val>
            <c:numRef>
              <c:f>dashboard!$E$50:$E$52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D-4E4B-BFD6-ECCBB65B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502920"/>
        <c:axId val="846509576"/>
      </c:barChart>
      <c:catAx>
        <c:axId val="84650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09576"/>
        <c:crosses val="autoZero"/>
        <c:auto val="1"/>
        <c:lblAlgn val="ctr"/>
        <c:lblOffset val="100"/>
        <c:noMultiLvlLbl val="0"/>
      </c:catAx>
      <c:valAx>
        <c:axId val="84650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0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5</xdr:row>
      <xdr:rowOff>57150</xdr:rowOff>
    </xdr:from>
    <xdr:to>
      <xdr:col>6</xdr:col>
      <xdr:colOff>581025</xdr:colOff>
      <xdr:row>19</xdr:row>
      <xdr:rowOff>133350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1A151078-4403-4DAD-B69B-57805C4CC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21</xdr:row>
      <xdr:rowOff>85725</xdr:rowOff>
    </xdr:from>
    <xdr:to>
      <xdr:col>7</xdr:col>
      <xdr:colOff>266700</xdr:colOff>
      <xdr:row>35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BD9D1C3-1571-4298-A103-2A1AD3521B24}"/>
            </a:ext>
            <a:ext uri="{147F2762-F138-4A5C-976F-8EAC2B608ADB}">
              <a16:predDERef xmlns:a16="http://schemas.microsoft.com/office/drawing/2014/main" pred="{1A151078-4403-4DAD-B69B-57805C4CC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21</xdr:row>
      <xdr:rowOff>76200</xdr:rowOff>
    </xdr:from>
    <xdr:to>
      <xdr:col>12</xdr:col>
      <xdr:colOff>561975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8FE055-C3D7-2EEA-4518-D2882D58D2E6}"/>
            </a:ext>
            <a:ext uri="{147F2762-F138-4A5C-976F-8EAC2B608ADB}">
              <a16:predDERef xmlns:a16="http://schemas.microsoft.com/office/drawing/2014/main" pred="{5BD9D1C3-1571-4298-A103-2A1AD3521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727220601853" createdVersion="8" refreshedVersion="8" minRefreshableVersion="3" recordCount="45" xr:uid="{3763735E-A611-45B7-9723-2C98631CFDE5}">
  <cacheSource type="worksheet">
    <worksheetSource ref="A1:E46" sheet="orders"/>
  </cacheSource>
  <cacheFields count="5">
    <cacheField name="order_id" numFmtId="0">
      <sharedItems containsSemiMixedTypes="0" containsString="0" containsNumber="1" containsInteger="1" minValue="1" maxValue="45"/>
    </cacheField>
    <cacheField name="customer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customer_names" numFmtId="0">
      <sharedItems count="5">
        <s v="Jen South"/>
        <s v="Edward Juan"/>
        <s v="Tara Davis"/>
        <s v="Michael Queen"/>
        <s v="Justin Case"/>
      </sharedItems>
    </cacheField>
    <cacheField name="order_date" numFmtId="14">
      <sharedItems containsSemiMixedTypes="0" containsNonDate="0" containsDate="1" containsString="0" minDate="2024-01-10T00:00:00" maxDate="2025-05-02T00:00:00" count="9">
        <d v="2024-01-10T00:00:00"/>
        <d v="2025-03-22T00:00:00"/>
        <d v="2025-02-14T00:00:00"/>
        <d v="2024-03-05T00:00:00"/>
        <d v="2024-04-18T00:00:00"/>
        <d v="2025-05-01T00:00:00"/>
        <d v="2024-08-15T00:00:00"/>
        <d v="2025-01-07T00:00:00"/>
        <d v="2025-03-19T00:00:00"/>
      </sharedItems>
    </cacheField>
    <cacheField name="order_amount" numFmtId="164">
      <sharedItems containsSemiMixedTypes="0" containsString="0" containsNumber="1" minValue="5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682342824075" createdVersion="8" refreshedVersion="8" minRefreshableVersion="3" recordCount="45" xr:uid="{CD737431-F6B8-479F-B57A-F1B82466C735}">
  <cacheSource type="worksheet">
    <worksheetSource ref="A1:F46" sheet="orders"/>
  </cacheSource>
  <cacheFields count="6">
    <cacheField name="order_id" numFmtId="0">
      <sharedItems containsSemiMixedTypes="0" containsString="0" containsNumber="1" containsInteger="1" minValue="1" maxValue="45"/>
    </cacheField>
    <cacheField name="customer_id" numFmtId="0">
      <sharedItems containsSemiMixedTypes="0" containsString="0" containsNumber="1" containsInteger="1" minValue="1" maxValue="5"/>
    </cacheField>
    <cacheField name="customer_names" numFmtId="0">
      <sharedItems/>
    </cacheField>
    <cacheField name="order_date" numFmtId="14">
      <sharedItems containsSemiMixedTypes="0" containsNonDate="0" containsDate="1" containsString="0" minDate="2024-01-10T00:00:00" maxDate="2025-05-02T00:00:00"/>
    </cacheField>
    <cacheField name="order_amount" numFmtId="164">
      <sharedItems containsSemiMixedTypes="0" containsString="0" containsNumber="1" minValue="50" maxValue="300"/>
    </cacheField>
    <cacheField name="year-month" numFmtId="0">
      <sharedItems count="8">
        <s v="2024-01"/>
        <s v="2025-03"/>
        <s v="2025-02"/>
        <s v="2024-03"/>
        <s v="2024-04"/>
        <s v="2025-05"/>
        <s v="2024-08"/>
        <s v="2025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x v="0"/>
    <x v="0"/>
    <x v="0"/>
    <n v="120.5"/>
  </r>
  <r>
    <n v="2"/>
    <x v="0"/>
    <x v="0"/>
    <x v="1"/>
    <n v="80"/>
  </r>
  <r>
    <n v="3"/>
    <x v="1"/>
    <x v="1"/>
    <x v="2"/>
    <n v="200"/>
  </r>
  <r>
    <n v="4"/>
    <x v="2"/>
    <x v="2"/>
    <x v="3"/>
    <n v="50"/>
  </r>
  <r>
    <n v="5"/>
    <x v="2"/>
    <x v="2"/>
    <x v="4"/>
    <n v="75"/>
  </r>
  <r>
    <n v="6"/>
    <x v="3"/>
    <x v="3"/>
    <x v="5"/>
    <n v="300"/>
  </r>
  <r>
    <n v="7"/>
    <x v="4"/>
    <x v="4"/>
    <x v="6"/>
    <n v="60"/>
  </r>
  <r>
    <n v="8"/>
    <x v="4"/>
    <x v="4"/>
    <x v="7"/>
    <n v="150"/>
  </r>
  <r>
    <n v="9"/>
    <x v="4"/>
    <x v="4"/>
    <x v="8"/>
    <n v="75"/>
  </r>
  <r>
    <n v="10"/>
    <x v="0"/>
    <x v="0"/>
    <x v="0"/>
    <n v="120.5"/>
  </r>
  <r>
    <n v="11"/>
    <x v="0"/>
    <x v="0"/>
    <x v="1"/>
    <n v="80"/>
  </r>
  <r>
    <n v="12"/>
    <x v="1"/>
    <x v="1"/>
    <x v="2"/>
    <n v="200"/>
  </r>
  <r>
    <n v="13"/>
    <x v="2"/>
    <x v="2"/>
    <x v="3"/>
    <n v="50"/>
  </r>
  <r>
    <n v="14"/>
    <x v="2"/>
    <x v="2"/>
    <x v="4"/>
    <n v="75"/>
  </r>
  <r>
    <n v="15"/>
    <x v="3"/>
    <x v="3"/>
    <x v="5"/>
    <n v="300"/>
  </r>
  <r>
    <n v="16"/>
    <x v="4"/>
    <x v="4"/>
    <x v="6"/>
    <n v="60"/>
  </r>
  <r>
    <n v="17"/>
    <x v="4"/>
    <x v="4"/>
    <x v="7"/>
    <n v="150"/>
  </r>
  <r>
    <n v="18"/>
    <x v="4"/>
    <x v="4"/>
    <x v="8"/>
    <n v="75"/>
  </r>
  <r>
    <n v="19"/>
    <x v="0"/>
    <x v="0"/>
    <x v="0"/>
    <n v="120.5"/>
  </r>
  <r>
    <n v="20"/>
    <x v="0"/>
    <x v="0"/>
    <x v="1"/>
    <n v="80"/>
  </r>
  <r>
    <n v="21"/>
    <x v="1"/>
    <x v="1"/>
    <x v="2"/>
    <n v="200"/>
  </r>
  <r>
    <n v="22"/>
    <x v="2"/>
    <x v="2"/>
    <x v="3"/>
    <n v="50"/>
  </r>
  <r>
    <n v="23"/>
    <x v="2"/>
    <x v="2"/>
    <x v="4"/>
    <n v="75"/>
  </r>
  <r>
    <n v="24"/>
    <x v="3"/>
    <x v="3"/>
    <x v="5"/>
    <n v="300"/>
  </r>
  <r>
    <n v="25"/>
    <x v="4"/>
    <x v="4"/>
    <x v="6"/>
    <n v="60"/>
  </r>
  <r>
    <n v="26"/>
    <x v="4"/>
    <x v="4"/>
    <x v="7"/>
    <n v="150"/>
  </r>
  <r>
    <n v="27"/>
    <x v="4"/>
    <x v="4"/>
    <x v="8"/>
    <n v="75"/>
  </r>
  <r>
    <n v="28"/>
    <x v="0"/>
    <x v="0"/>
    <x v="0"/>
    <n v="120.5"/>
  </r>
  <r>
    <n v="29"/>
    <x v="0"/>
    <x v="0"/>
    <x v="1"/>
    <n v="80"/>
  </r>
  <r>
    <n v="30"/>
    <x v="1"/>
    <x v="1"/>
    <x v="2"/>
    <n v="200"/>
  </r>
  <r>
    <n v="31"/>
    <x v="2"/>
    <x v="2"/>
    <x v="3"/>
    <n v="50"/>
  </r>
  <r>
    <n v="32"/>
    <x v="2"/>
    <x v="2"/>
    <x v="4"/>
    <n v="75"/>
  </r>
  <r>
    <n v="33"/>
    <x v="3"/>
    <x v="3"/>
    <x v="5"/>
    <n v="300"/>
  </r>
  <r>
    <n v="34"/>
    <x v="4"/>
    <x v="4"/>
    <x v="6"/>
    <n v="60"/>
  </r>
  <r>
    <n v="35"/>
    <x v="4"/>
    <x v="4"/>
    <x v="7"/>
    <n v="150"/>
  </r>
  <r>
    <n v="36"/>
    <x v="4"/>
    <x v="4"/>
    <x v="8"/>
    <n v="75"/>
  </r>
  <r>
    <n v="37"/>
    <x v="0"/>
    <x v="0"/>
    <x v="0"/>
    <n v="120.5"/>
  </r>
  <r>
    <n v="38"/>
    <x v="0"/>
    <x v="0"/>
    <x v="1"/>
    <n v="80"/>
  </r>
  <r>
    <n v="39"/>
    <x v="1"/>
    <x v="1"/>
    <x v="2"/>
    <n v="200"/>
  </r>
  <r>
    <n v="40"/>
    <x v="2"/>
    <x v="2"/>
    <x v="3"/>
    <n v="50"/>
  </r>
  <r>
    <n v="41"/>
    <x v="2"/>
    <x v="2"/>
    <x v="4"/>
    <n v="75"/>
  </r>
  <r>
    <n v="42"/>
    <x v="3"/>
    <x v="3"/>
    <x v="5"/>
    <n v="300"/>
  </r>
  <r>
    <n v="43"/>
    <x v="4"/>
    <x v="4"/>
    <x v="6"/>
    <n v="60"/>
  </r>
  <r>
    <n v="44"/>
    <x v="4"/>
    <x v="4"/>
    <x v="7"/>
    <n v="150"/>
  </r>
  <r>
    <n v="45"/>
    <x v="4"/>
    <x v="4"/>
    <x v="8"/>
    <n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n v="1"/>
    <s v="Jen South"/>
    <d v="2024-01-10T00:00:00"/>
    <n v="120.5"/>
    <x v="0"/>
  </r>
  <r>
    <n v="2"/>
    <n v="1"/>
    <s v="Jen South"/>
    <d v="2025-03-22T00:00:00"/>
    <n v="80"/>
    <x v="1"/>
  </r>
  <r>
    <n v="3"/>
    <n v="2"/>
    <s v="Edward Juan"/>
    <d v="2025-02-14T00:00:00"/>
    <n v="200"/>
    <x v="2"/>
  </r>
  <r>
    <n v="4"/>
    <n v="3"/>
    <s v="Tara Davis"/>
    <d v="2024-03-05T00:00:00"/>
    <n v="50"/>
    <x v="3"/>
  </r>
  <r>
    <n v="5"/>
    <n v="3"/>
    <s v="Tara Davis"/>
    <d v="2024-04-18T00:00:00"/>
    <n v="75"/>
    <x v="4"/>
  </r>
  <r>
    <n v="6"/>
    <n v="4"/>
    <s v="Michael Queen"/>
    <d v="2025-05-01T00:00:00"/>
    <n v="300"/>
    <x v="5"/>
  </r>
  <r>
    <n v="7"/>
    <n v="5"/>
    <s v="Justin Case"/>
    <d v="2024-08-15T00:00:00"/>
    <n v="60"/>
    <x v="6"/>
  </r>
  <r>
    <n v="8"/>
    <n v="5"/>
    <s v="Justin Case"/>
    <d v="2025-01-07T00:00:00"/>
    <n v="150"/>
    <x v="7"/>
  </r>
  <r>
    <n v="9"/>
    <n v="5"/>
    <s v="Justin Case"/>
    <d v="2025-03-19T00:00:00"/>
    <n v="75"/>
    <x v="1"/>
  </r>
  <r>
    <n v="10"/>
    <n v="1"/>
    <s v="Jen South"/>
    <d v="2024-01-10T00:00:00"/>
    <n v="120.5"/>
    <x v="0"/>
  </r>
  <r>
    <n v="11"/>
    <n v="1"/>
    <s v="Jen South"/>
    <d v="2025-03-22T00:00:00"/>
    <n v="80"/>
    <x v="1"/>
  </r>
  <r>
    <n v="12"/>
    <n v="2"/>
    <s v="Edward Juan"/>
    <d v="2025-02-14T00:00:00"/>
    <n v="200"/>
    <x v="2"/>
  </r>
  <r>
    <n v="13"/>
    <n v="3"/>
    <s v="Tara Davis"/>
    <d v="2024-03-05T00:00:00"/>
    <n v="50"/>
    <x v="3"/>
  </r>
  <r>
    <n v="14"/>
    <n v="3"/>
    <s v="Tara Davis"/>
    <d v="2024-04-18T00:00:00"/>
    <n v="75"/>
    <x v="4"/>
  </r>
  <r>
    <n v="15"/>
    <n v="4"/>
    <s v="Michael Queen"/>
    <d v="2025-05-01T00:00:00"/>
    <n v="300"/>
    <x v="5"/>
  </r>
  <r>
    <n v="16"/>
    <n v="5"/>
    <s v="Justin Case"/>
    <d v="2024-08-15T00:00:00"/>
    <n v="60"/>
    <x v="6"/>
  </r>
  <r>
    <n v="17"/>
    <n v="5"/>
    <s v="Justin Case"/>
    <d v="2025-01-07T00:00:00"/>
    <n v="150"/>
    <x v="7"/>
  </r>
  <r>
    <n v="18"/>
    <n v="5"/>
    <s v="Justin Case"/>
    <d v="2025-03-19T00:00:00"/>
    <n v="75"/>
    <x v="1"/>
  </r>
  <r>
    <n v="19"/>
    <n v="1"/>
    <s v="Jen South"/>
    <d v="2024-01-10T00:00:00"/>
    <n v="120.5"/>
    <x v="0"/>
  </r>
  <r>
    <n v="20"/>
    <n v="1"/>
    <s v="Jen South"/>
    <d v="2025-03-22T00:00:00"/>
    <n v="80"/>
    <x v="1"/>
  </r>
  <r>
    <n v="21"/>
    <n v="2"/>
    <s v="Edward Juan"/>
    <d v="2025-02-14T00:00:00"/>
    <n v="200"/>
    <x v="2"/>
  </r>
  <r>
    <n v="22"/>
    <n v="3"/>
    <s v="Tara Davis"/>
    <d v="2024-03-05T00:00:00"/>
    <n v="50"/>
    <x v="3"/>
  </r>
  <r>
    <n v="23"/>
    <n v="3"/>
    <s v="Tara Davis"/>
    <d v="2024-04-18T00:00:00"/>
    <n v="75"/>
    <x v="4"/>
  </r>
  <r>
    <n v="24"/>
    <n v="4"/>
    <s v="Michael Queen"/>
    <d v="2025-05-01T00:00:00"/>
    <n v="300"/>
    <x v="5"/>
  </r>
  <r>
    <n v="25"/>
    <n v="5"/>
    <s v="Justin Case"/>
    <d v="2024-08-15T00:00:00"/>
    <n v="60"/>
    <x v="6"/>
  </r>
  <r>
    <n v="26"/>
    <n v="5"/>
    <s v="Justin Case"/>
    <d v="2025-01-07T00:00:00"/>
    <n v="150"/>
    <x v="7"/>
  </r>
  <r>
    <n v="27"/>
    <n v="5"/>
    <s v="Justin Case"/>
    <d v="2025-03-19T00:00:00"/>
    <n v="75"/>
    <x v="1"/>
  </r>
  <r>
    <n v="28"/>
    <n v="1"/>
    <s v="Jen South"/>
    <d v="2024-01-10T00:00:00"/>
    <n v="120.5"/>
    <x v="0"/>
  </r>
  <r>
    <n v="29"/>
    <n v="1"/>
    <s v="Jen South"/>
    <d v="2025-03-22T00:00:00"/>
    <n v="80"/>
    <x v="1"/>
  </r>
  <r>
    <n v="30"/>
    <n v="2"/>
    <s v="Edward Juan"/>
    <d v="2025-02-14T00:00:00"/>
    <n v="200"/>
    <x v="2"/>
  </r>
  <r>
    <n v="31"/>
    <n v="3"/>
    <s v="Tara Davis"/>
    <d v="2024-03-05T00:00:00"/>
    <n v="50"/>
    <x v="3"/>
  </r>
  <r>
    <n v="32"/>
    <n v="3"/>
    <s v="Tara Davis"/>
    <d v="2024-04-18T00:00:00"/>
    <n v="75"/>
    <x v="4"/>
  </r>
  <r>
    <n v="33"/>
    <n v="4"/>
    <s v="Michael Queen"/>
    <d v="2025-05-01T00:00:00"/>
    <n v="300"/>
    <x v="5"/>
  </r>
  <r>
    <n v="34"/>
    <n v="5"/>
    <s v="Justin Case"/>
    <d v="2024-08-15T00:00:00"/>
    <n v="60"/>
    <x v="6"/>
  </r>
  <r>
    <n v="35"/>
    <n v="5"/>
    <s v="Justin Case"/>
    <d v="2025-01-07T00:00:00"/>
    <n v="150"/>
    <x v="7"/>
  </r>
  <r>
    <n v="36"/>
    <n v="5"/>
    <s v="Justin Case"/>
    <d v="2025-03-19T00:00:00"/>
    <n v="75"/>
    <x v="1"/>
  </r>
  <r>
    <n v="37"/>
    <n v="1"/>
    <s v="Jen South"/>
    <d v="2024-01-10T00:00:00"/>
    <n v="120.5"/>
    <x v="0"/>
  </r>
  <r>
    <n v="38"/>
    <n v="1"/>
    <s v="Jen South"/>
    <d v="2025-03-22T00:00:00"/>
    <n v="80"/>
    <x v="1"/>
  </r>
  <r>
    <n v="39"/>
    <n v="2"/>
    <s v="Edward Juan"/>
    <d v="2025-02-14T00:00:00"/>
    <n v="200"/>
    <x v="2"/>
  </r>
  <r>
    <n v="40"/>
    <n v="3"/>
    <s v="Tara Davis"/>
    <d v="2024-03-05T00:00:00"/>
    <n v="50"/>
    <x v="3"/>
  </r>
  <r>
    <n v="41"/>
    <n v="3"/>
    <s v="Tara Davis"/>
    <d v="2024-04-18T00:00:00"/>
    <n v="75"/>
    <x v="4"/>
  </r>
  <r>
    <n v="42"/>
    <n v="4"/>
    <s v="Michael Queen"/>
    <d v="2025-05-01T00:00:00"/>
    <n v="300"/>
    <x v="5"/>
  </r>
  <r>
    <n v="43"/>
    <n v="5"/>
    <s v="Justin Case"/>
    <d v="2024-08-15T00:00:00"/>
    <n v="60"/>
    <x v="6"/>
  </r>
  <r>
    <n v="44"/>
    <n v="5"/>
    <s v="Justin Case"/>
    <d v="2025-01-07T00:00:00"/>
    <n v="150"/>
    <x v="7"/>
  </r>
  <r>
    <n v="45"/>
    <n v="5"/>
    <s v="Justin Case"/>
    <d v="2025-03-19T00:00:00"/>
    <n v="7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5E2E0-D258-426B-B5DF-ACE864D95894}" name="PivotTable2" cacheId="8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6">
    <pivotField compact="0" outline="0" showAll="0"/>
    <pivotField compact="0" outline="0" showAll="0"/>
    <pivotField compact="0" outline="0" showAll="0"/>
    <pivotField compact="0" numFmtId="14" outline="0" showAll="0"/>
    <pivotField dataField="1" compact="0" numFmtId="164" outline="0" showAll="0"/>
    <pivotField axis="axisRow" compact="0" outline="0" showAll="0">
      <items count="9">
        <item x="0"/>
        <item x="3"/>
        <item x="4"/>
        <item x="6"/>
        <item x="7"/>
        <item x="2"/>
        <item x="1"/>
        <item x="5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_amount" fld="4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480DB-4B1D-4AC4-81F1-D0A552992AD7}" name="PivotTable1" cacheId="84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8">
  <location ref="A3:B9" firstHeaderRow="1" firstDataRow="1" firstDataCol="1"/>
  <pivotFields count="5">
    <pivotField compact="0" outline="0" showAll="0"/>
    <pivotField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6">
        <item x="1"/>
        <item x="0"/>
        <item x="4"/>
        <item x="3"/>
        <item x="2"/>
        <item t="default"/>
      </items>
    </pivotField>
    <pivotField compact="0" numFmtId="14" outline="0" showAll="0"/>
    <pivotField dataField="1" compact="0" numFmtId="164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_amount" fld="4" baseField="0" baseItem="0" numFmtId="164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6920-01CD-4470-AA07-0A457A4CAF6F}">
  <dimension ref="A1:J6"/>
  <sheetViews>
    <sheetView workbookViewId="0">
      <selection activeCell="E2" sqref="E2:E6"/>
    </sheetView>
  </sheetViews>
  <sheetFormatPr defaultRowHeight="15"/>
  <cols>
    <col min="1" max="1" width="11.42578125" customWidth="1"/>
    <col min="2" max="2" width="10.85546875" customWidth="1"/>
    <col min="3" max="3" width="10" customWidth="1"/>
    <col min="4" max="4" width="13.5703125" customWidth="1"/>
    <col min="5" max="6" width="13" customWidth="1"/>
    <col min="10" max="10" width="11.140625" customWidth="1"/>
    <col min="13" max="13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tr">
        <f>B2 &amp; " " &amp; C2</f>
        <v>Jen South</v>
      </c>
      <c r="E2" t="str">
        <f>IF(F2=MAX(F:F),"Top Customer",IF(RANK(F2,F:F)&lt;=3,"High Value","Regular"))</f>
        <v>High Value</v>
      </c>
      <c r="F2">
        <f>SUMIF(orders!B:B,A2,orders!E:E)</f>
        <v>1002.5</v>
      </c>
      <c r="G2">
        <v>29</v>
      </c>
      <c r="H2" t="s">
        <v>12</v>
      </c>
      <c r="I2" t="s">
        <v>13</v>
      </c>
      <c r="J2" s="1">
        <v>44576</v>
      </c>
    </row>
    <row r="3" spans="1:10">
      <c r="A3">
        <v>2</v>
      </c>
      <c r="B3" t="s">
        <v>14</v>
      </c>
      <c r="C3" t="s">
        <v>15</v>
      </c>
      <c r="D3" t="str">
        <f>B3 &amp; " " &amp; C3</f>
        <v>Edward Juan</v>
      </c>
      <c r="E3" t="str">
        <f t="shared" ref="E3:E6" si="0">IF(F3=MAX(F:F),"Top Customer",IF(RANK(F3,F:F)&lt;=3,"High Value","Regular"))</f>
        <v>Regular</v>
      </c>
      <c r="F3">
        <f>SUMIF(orders!B:B,A3,orders!E:E)</f>
        <v>1000</v>
      </c>
      <c r="G3">
        <v>45</v>
      </c>
      <c r="H3" t="s">
        <v>16</v>
      </c>
      <c r="I3" t="s">
        <v>17</v>
      </c>
      <c r="J3" s="1">
        <v>44138</v>
      </c>
    </row>
    <row r="4" spans="1:10">
      <c r="A4">
        <v>3</v>
      </c>
      <c r="B4" t="s">
        <v>18</v>
      </c>
      <c r="C4" t="s">
        <v>19</v>
      </c>
      <c r="D4" t="str">
        <f>B4 &amp; " " &amp; C4</f>
        <v>Tara Davis</v>
      </c>
      <c r="E4" t="str">
        <f t="shared" si="0"/>
        <v>Regular</v>
      </c>
      <c r="F4">
        <f>SUMIF(orders!B:B,A4,orders!E:E)</f>
        <v>625</v>
      </c>
      <c r="G4">
        <v>34</v>
      </c>
      <c r="H4" t="s">
        <v>12</v>
      </c>
      <c r="I4" t="s">
        <v>20</v>
      </c>
      <c r="J4" s="1">
        <v>44368</v>
      </c>
    </row>
    <row r="5" spans="1:10">
      <c r="A5">
        <v>4</v>
      </c>
      <c r="B5" t="s">
        <v>21</v>
      </c>
      <c r="C5" t="s">
        <v>22</v>
      </c>
      <c r="D5" t="str">
        <f>B5 &amp; " " &amp; C5</f>
        <v>Michael Queen</v>
      </c>
      <c r="E5" t="str">
        <f t="shared" si="0"/>
        <v>Top Customer</v>
      </c>
      <c r="F5">
        <f>SUMIF(orders!B:B,A5,orders!E:E)</f>
        <v>1500</v>
      </c>
      <c r="G5">
        <v>52</v>
      </c>
      <c r="H5" t="s">
        <v>16</v>
      </c>
      <c r="I5" t="s">
        <v>23</v>
      </c>
      <c r="J5" s="1">
        <v>44814</v>
      </c>
    </row>
    <row r="6" spans="1:10">
      <c r="A6">
        <v>5</v>
      </c>
      <c r="B6" t="s">
        <v>24</v>
      </c>
      <c r="C6" t="s">
        <v>25</v>
      </c>
      <c r="D6" t="str">
        <f>B6 &amp; " " &amp; C6</f>
        <v>Justin Case</v>
      </c>
      <c r="E6" t="str">
        <f t="shared" si="0"/>
        <v>High Value</v>
      </c>
      <c r="F6">
        <f>SUMIF(orders!B:B,A6,orders!E:E)</f>
        <v>1425</v>
      </c>
      <c r="G6">
        <v>24</v>
      </c>
      <c r="H6" t="s">
        <v>16</v>
      </c>
      <c r="I6" t="s">
        <v>26</v>
      </c>
      <c r="J6" s="1">
        <v>44759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7EB-C81D-4380-828F-CFE174A48D8C}">
  <dimension ref="A3:B12"/>
  <sheetViews>
    <sheetView topLeftCell="A10" workbookViewId="0">
      <selection activeCell="Q16" sqref="Q16"/>
    </sheetView>
  </sheetViews>
  <sheetFormatPr defaultRowHeight="15"/>
  <cols>
    <col min="1" max="1" width="14.85546875" bestFit="1" customWidth="1"/>
    <col min="2" max="2" width="21.140625" bestFit="1" customWidth="1"/>
  </cols>
  <sheetData>
    <row r="3" spans="1:2">
      <c r="A3" s="5" t="s">
        <v>27</v>
      </c>
      <c r="B3" t="s">
        <v>28</v>
      </c>
    </row>
    <row r="4" spans="1:2">
      <c r="A4" t="s">
        <v>29</v>
      </c>
      <c r="B4" s="6">
        <v>602.5</v>
      </c>
    </row>
    <row r="5" spans="1:2">
      <c r="A5" t="s">
        <v>30</v>
      </c>
      <c r="B5" s="6">
        <v>250</v>
      </c>
    </row>
    <row r="6" spans="1:2">
      <c r="A6" t="s">
        <v>31</v>
      </c>
      <c r="B6" s="6">
        <v>375</v>
      </c>
    </row>
    <row r="7" spans="1:2">
      <c r="A7" t="s">
        <v>32</v>
      </c>
      <c r="B7" s="6">
        <v>300</v>
      </c>
    </row>
    <row r="8" spans="1:2">
      <c r="A8" t="s">
        <v>33</v>
      </c>
      <c r="B8" s="6">
        <v>750</v>
      </c>
    </row>
    <row r="9" spans="1:2">
      <c r="A9" t="s">
        <v>34</v>
      </c>
      <c r="B9" s="6">
        <v>1000</v>
      </c>
    </row>
    <row r="10" spans="1:2">
      <c r="A10" t="s">
        <v>35</v>
      </c>
      <c r="B10" s="6">
        <v>775</v>
      </c>
    </row>
    <row r="11" spans="1:2">
      <c r="A11" t="s">
        <v>36</v>
      </c>
      <c r="B11" s="6">
        <v>1500</v>
      </c>
    </row>
    <row r="12" spans="1:2">
      <c r="A12" t="s">
        <v>37</v>
      </c>
      <c r="B12" s="6">
        <v>5552.5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6EA3-638A-42CA-9285-9A3EFBCBEBDD}">
  <dimension ref="A1:F47"/>
  <sheetViews>
    <sheetView workbookViewId="0">
      <selection activeCell="D35" sqref="D35"/>
    </sheetView>
  </sheetViews>
  <sheetFormatPr defaultRowHeight="15"/>
  <cols>
    <col min="1" max="1" width="11.140625" style="4" customWidth="1"/>
    <col min="2" max="2" width="11.42578125" customWidth="1"/>
    <col min="3" max="3" width="15.7109375" customWidth="1"/>
    <col min="4" max="4" width="10.140625" bestFit="1" customWidth="1"/>
    <col min="5" max="5" width="18.140625" style="2" customWidth="1"/>
    <col min="6" max="6" width="10.5703125" customWidth="1"/>
  </cols>
  <sheetData>
    <row r="1" spans="1:6">
      <c r="A1" s="3" t="s">
        <v>38</v>
      </c>
      <c r="B1" t="s">
        <v>0</v>
      </c>
      <c r="C1" t="s">
        <v>39</v>
      </c>
      <c r="D1" t="s">
        <v>40</v>
      </c>
      <c r="E1" s="2" t="s">
        <v>41</v>
      </c>
      <c r="F1" t="s">
        <v>27</v>
      </c>
    </row>
    <row r="2" spans="1:6">
      <c r="A2" s="3">
        <v>1</v>
      </c>
      <c r="B2">
        <v>1</v>
      </c>
      <c r="C2" t="str">
        <f>INDEX(customers!D:D,MATCH(B2,customers!A:A,0))</f>
        <v>Jen South</v>
      </c>
      <c r="D2" s="1">
        <v>45301</v>
      </c>
      <c r="E2" s="2">
        <v>120.5</v>
      </c>
      <c r="F2" t="str">
        <f>TEXT(D2,"yyyy-mm")</f>
        <v>2024-01</v>
      </c>
    </row>
    <row r="3" spans="1:6">
      <c r="A3" s="3">
        <v>2</v>
      </c>
      <c r="B3">
        <v>1</v>
      </c>
      <c r="C3" t="str">
        <f>INDEX(customers!D:D,MATCH(B3,customers!A:A,0))</f>
        <v>Jen South</v>
      </c>
      <c r="D3" s="1">
        <v>45738</v>
      </c>
      <c r="E3" s="2">
        <v>80</v>
      </c>
      <c r="F3" t="str">
        <f t="shared" ref="F3:F46" si="0">TEXT(D3,"yyyy-mm")</f>
        <v>2025-03</v>
      </c>
    </row>
    <row r="4" spans="1:6">
      <c r="A4" s="3">
        <v>3</v>
      </c>
      <c r="B4">
        <v>2</v>
      </c>
      <c r="C4" t="str">
        <f>INDEX(customers!D:D,MATCH(B4,customers!A:A,0))</f>
        <v>Edward Juan</v>
      </c>
      <c r="D4" s="1">
        <v>45702</v>
      </c>
      <c r="E4" s="2">
        <v>200</v>
      </c>
      <c r="F4" t="str">
        <f t="shared" si="0"/>
        <v>2025-02</v>
      </c>
    </row>
    <row r="5" spans="1:6">
      <c r="A5" s="3">
        <v>4</v>
      </c>
      <c r="B5">
        <v>3</v>
      </c>
      <c r="C5" t="str">
        <f>INDEX(customers!D:D,MATCH(B5,customers!A:A,0))</f>
        <v>Tara Davis</v>
      </c>
      <c r="D5" s="1">
        <v>45356</v>
      </c>
      <c r="E5" s="2">
        <v>50</v>
      </c>
      <c r="F5" t="str">
        <f t="shared" si="0"/>
        <v>2024-03</v>
      </c>
    </row>
    <row r="6" spans="1:6">
      <c r="A6" s="3">
        <v>5</v>
      </c>
      <c r="B6">
        <v>3</v>
      </c>
      <c r="C6" t="str">
        <f>INDEX(customers!D:D,MATCH(B6,customers!A:A,0))</f>
        <v>Tara Davis</v>
      </c>
      <c r="D6" s="1">
        <v>45400</v>
      </c>
      <c r="E6" s="2">
        <v>75</v>
      </c>
      <c r="F6" t="str">
        <f t="shared" si="0"/>
        <v>2024-04</v>
      </c>
    </row>
    <row r="7" spans="1:6">
      <c r="A7" s="3">
        <v>6</v>
      </c>
      <c r="B7">
        <v>4</v>
      </c>
      <c r="C7" t="str">
        <f>INDEX(customers!D:D,MATCH(B7,customers!A:A,0))</f>
        <v>Michael Queen</v>
      </c>
      <c r="D7" s="1">
        <v>45778</v>
      </c>
      <c r="E7" s="2">
        <v>300</v>
      </c>
      <c r="F7" t="str">
        <f t="shared" si="0"/>
        <v>2025-05</v>
      </c>
    </row>
    <row r="8" spans="1:6">
      <c r="A8" s="3">
        <v>7</v>
      </c>
      <c r="B8">
        <v>5</v>
      </c>
      <c r="C8" t="str">
        <f>INDEX(customers!D:D,MATCH(B8,customers!A:A,0))</f>
        <v>Justin Case</v>
      </c>
      <c r="D8" s="1">
        <v>45519</v>
      </c>
      <c r="E8" s="2">
        <v>60</v>
      </c>
      <c r="F8" t="str">
        <f t="shared" si="0"/>
        <v>2024-08</v>
      </c>
    </row>
    <row r="9" spans="1:6">
      <c r="A9" s="3">
        <v>8</v>
      </c>
      <c r="B9">
        <v>5</v>
      </c>
      <c r="C9" t="str">
        <f>INDEX(customers!D:D,MATCH(B9,customers!A:A,0))</f>
        <v>Justin Case</v>
      </c>
      <c r="D9" s="1">
        <v>45664</v>
      </c>
      <c r="E9" s="2">
        <v>150</v>
      </c>
      <c r="F9" t="str">
        <f t="shared" si="0"/>
        <v>2025-01</v>
      </c>
    </row>
    <row r="10" spans="1:6">
      <c r="A10" s="3">
        <v>9</v>
      </c>
      <c r="B10">
        <v>5</v>
      </c>
      <c r="C10" t="str">
        <f>INDEX(customers!D:D,MATCH(B10,customers!A:A,0))</f>
        <v>Justin Case</v>
      </c>
      <c r="D10" s="1">
        <v>45735</v>
      </c>
      <c r="E10" s="2">
        <v>75</v>
      </c>
      <c r="F10" t="str">
        <f t="shared" si="0"/>
        <v>2025-03</v>
      </c>
    </row>
    <row r="11" spans="1:6">
      <c r="A11" s="3">
        <v>10</v>
      </c>
      <c r="B11">
        <v>1</v>
      </c>
      <c r="C11" t="str">
        <f>INDEX(customers!D:D,MATCH(B11,customers!A:A,0))</f>
        <v>Jen South</v>
      </c>
      <c r="D11" s="1">
        <v>45301</v>
      </c>
      <c r="E11" s="2">
        <v>120.5</v>
      </c>
      <c r="F11" t="str">
        <f t="shared" si="0"/>
        <v>2024-01</v>
      </c>
    </row>
    <row r="12" spans="1:6">
      <c r="A12" s="3">
        <v>11</v>
      </c>
      <c r="B12">
        <v>1</v>
      </c>
      <c r="C12" t="str">
        <f>INDEX(customers!D:D,MATCH(B12,customers!A:A,0))</f>
        <v>Jen South</v>
      </c>
      <c r="D12" s="1">
        <v>45738</v>
      </c>
      <c r="E12" s="2">
        <v>80</v>
      </c>
      <c r="F12" t="str">
        <f t="shared" si="0"/>
        <v>2025-03</v>
      </c>
    </row>
    <row r="13" spans="1:6">
      <c r="A13" s="3">
        <v>12</v>
      </c>
      <c r="B13">
        <v>2</v>
      </c>
      <c r="C13" t="str">
        <f>INDEX(customers!D:D,MATCH(B13,customers!A:A,0))</f>
        <v>Edward Juan</v>
      </c>
      <c r="D13" s="1">
        <v>45702</v>
      </c>
      <c r="E13" s="2">
        <v>200</v>
      </c>
      <c r="F13" t="str">
        <f t="shared" si="0"/>
        <v>2025-02</v>
      </c>
    </row>
    <row r="14" spans="1:6">
      <c r="A14" s="3">
        <v>13</v>
      </c>
      <c r="B14">
        <v>3</v>
      </c>
      <c r="C14" t="str">
        <f>INDEX(customers!D:D,MATCH(B14,customers!A:A,0))</f>
        <v>Tara Davis</v>
      </c>
      <c r="D14" s="1">
        <v>45356</v>
      </c>
      <c r="E14" s="2">
        <v>50</v>
      </c>
      <c r="F14" t="str">
        <f t="shared" si="0"/>
        <v>2024-03</v>
      </c>
    </row>
    <row r="15" spans="1:6">
      <c r="A15" s="3">
        <v>14</v>
      </c>
      <c r="B15">
        <v>3</v>
      </c>
      <c r="C15" t="str">
        <f>INDEX(customers!D:D,MATCH(B15,customers!A:A,0))</f>
        <v>Tara Davis</v>
      </c>
      <c r="D15" s="1">
        <v>45400</v>
      </c>
      <c r="E15" s="2">
        <v>75</v>
      </c>
      <c r="F15" t="str">
        <f t="shared" si="0"/>
        <v>2024-04</v>
      </c>
    </row>
    <row r="16" spans="1:6">
      <c r="A16" s="3">
        <v>15</v>
      </c>
      <c r="B16">
        <v>4</v>
      </c>
      <c r="C16" t="str">
        <f>INDEX(customers!D:D,MATCH(B16,customers!A:A,0))</f>
        <v>Michael Queen</v>
      </c>
      <c r="D16" s="1">
        <v>45778</v>
      </c>
      <c r="E16" s="2">
        <v>300</v>
      </c>
      <c r="F16" t="str">
        <f t="shared" si="0"/>
        <v>2025-05</v>
      </c>
    </row>
    <row r="17" spans="1:6">
      <c r="A17" s="3">
        <v>16</v>
      </c>
      <c r="B17">
        <v>5</v>
      </c>
      <c r="C17" t="str">
        <f>INDEX(customers!D:D,MATCH(B17,customers!A:A,0))</f>
        <v>Justin Case</v>
      </c>
      <c r="D17" s="1">
        <v>45519</v>
      </c>
      <c r="E17" s="2">
        <v>60</v>
      </c>
      <c r="F17" t="str">
        <f t="shared" si="0"/>
        <v>2024-08</v>
      </c>
    </row>
    <row r="18" spans="1:6">
      <c r="A18" s="3">
        <v>17</v>
      </c>
      <c r="B18">
        <v>5</v>
      </c>
      <c r="C18" t="str">
        <f>INDEX(customers!D:D,MATCH(B18,customers!A:A,0))</f>
        <v>Justin Case</v>
      </c>
      <c r="D18" s="1">
        <v>45664</v>
      </c>
      <c r="E18" s="2">
        <v>150</v>
      </c>
      <c r="F18" t="str">
        <f t="shared" si="0"/>
        <v>2025-01</v>
      </c>
    </row>
    <row r="19" spans="1:6">
      <c r="A19" s="3">
        <v>18</v>
      </c>
      <c r="B19">
        <v>5</v>
      </c>
      <c r="C19" t="str">
        <f>INDEX(customers!D:D,MATCH(B19,customers!A:A,0))</f>
        <v>Justin Case</v>
      </c>
      <c r="D19" s="1">
        <v>45735</v>
      </c>
      <c r="E19" s="2">
        <v>75</v>
      </c>
      <c r="F19" t="str">
        <f t="shared" si="0"/>
        <v>2025-03</v>
      </c>
    </row>
    <row r="20" spans="1:6">
      <c r="A20" s="3">
        <v>19</v>
      </c>
      <c r="B20">
        <v>1</v>
      </c>
      <c r="C20" t="str">
        <f>INDEX(customers!D:D,MATCH(B20,customers!A:A,0))</f>
        <v>Jen South</v>
      </c>
      <c r="D20" s="1">
        <v>45301</v>
      </c>
      <c r="E20" s="2">
        <v>120.5</v>
      </c>
      <c r="F20" t="str">
        <f t="shared" si="0"/>
        <v>2024-01</v>
      </c>
    </row>
    <row r="21" spans="1:6">
      <c r="A21" s="3">
        <v>20</v>
      </c>
      <c r="B21">
        <v>1</v>
      </c>
      <c r="C21" t="str">
        <f>INDEX(customers!D:D,MATCH(B21,customers!A:A,0))</f>
        <v>Jen South</v>
      </c>
      <c r="D21" s="1">
        <v>45738</v>
      </c>
      <c r="E21" s="2">
        <v>80</v>
      </c>
      <c r="F21" t="str">
        <f t="shared" si="0"/>
        <v>2025-03</v>
      </c>
    </row>
    <row r="22" spans="1:6">
      <c r="A22" s="3">
        <v>21</v>
      </c>
      <c r="B22">
        <v>2</v>
      </c>
      <c r="C22" t="str">
        <f>INDEX(customers!D:D,MATCH(B22,customers!A:A,0))</f>
        <v>Edward Juan</v>
      </c>
      <c r="D22" s="1">
        <v>45702</v>
      </c>
      <c r="E22" s="2">
        <v>200</v>
      </c>
      <c r="F22" t="str">
        <f t="shared" si="0"/>
        <v>2025-02</v>
      </c>
    </row>
    <row r="23" spans="1:6">
      <c r="A23" s="3">
        <v>22</v>
      </c>
      <c r="B23">
        <v>3</v>
      </c>
      <c r="C23" t="str">
        <f>INDEX(customers!D:D,MATCH(B23,customers!A:A,0))</f>
        <v>Tara Davis</v>
      </c>
      <c r="D23" s="1">
        <v>45356</v>
      </c>
      <c r="E23" s="2">
        <v>50</v>
      </c>
      <c r="F23" t="str">
        <f t="shared" si="0"/>
        <v>2024-03</v>
      </c>
    </row>
    <row r="24" spans="1:6">
      <c r="A24" s="3">
        <v>23</v>
      </c>
      <c r="B24">
        <v>3</v>
      </c>
      <c r="C24" t="str">
        <f>INDEX(customers!D:D,MATCH(B24,customers!A:A,0))</f>
        <v>Tara Davis</v>
      </c>
      <c r="D24" s="1">
        <v>45400</v>
      </c>
      <c r="E24" s="2">
        <v>75</v>
      </c>
      <c r="F24" t="str">
        <f t="shared" si="0"/>
        <v>2024-04</v>
      </c>
    </row>
    <row r="25" spans="1:6">
      <c r="A25" s="3">
        <v>24</v>
      </c>
      <c r="B25">
        <v>4</v>
      </c>
      <c r="C25" t="str">
        <f>INDEX(customers!D:D,MATCH(B25,customers!A:A,0))</f>
        <v>Michael Queen</v>
      </c>
      <c r="D25" s="1">
        <v>45778</v>
      </c>
      <c r="E25" s="2">
        <v>300</v>
      </c>
      <c r="F25" t="str">
        <f t="shared" si="0"/>
        <v>2025-05</v>
      </c>
    </row>
    <row r="26" spans="1:6">
      <c r="A26" s="3">
        <v>25</v>
      </c>
      <c r="B26">
        <v>5</v>
      </c>
      <c r="C26" t="str">
        <f>INDEX(customers!D:D,MATCH(B26,customers!A:A,0))</f>
        <v>Justin Case</v>
      </c>
      <c r="D26" s="1">
        <v>45519</v>
      </c>
      <c r="E26" s="2">
        <v>60</v>
      </c>
      <c r="F26" t="str">
        <f t="shared" si="0"/>
        <v>2024-08</v>
      </c>
    </row>
    <row r="27" spans="1:6">
      <c r="A27" s="3">
        <v>26</v>
      </c>
      <c r="B27">
        <v>5</v>
      </c>
      <c r="C27" t="str">
        <f>INDEX(customers!D:D,MATCH(B27,customers!A:A,0))</f>
        <v>Justin Case</v>
      </c>
      <c r="D27" s="1">
        <v>45664</v>
      </c>
      <c r="E27" s="2">
        <v>150</v>
      </c>
      <c r="F27" t="str">
        <f t="shared" si="0"/>
        <v>2025-01</v>
      </c>
    </row>
    <row r="28" spans="1:6">
      <c r="A28" s="3">
        <v>27</v>
      </c>
      <c r="B28">
        <v>5</v>
      </c>
      <c r="C28" t="str">
        <f>INDEX(customers!D:D,MATCH(B28,customers!A:A,0))</f>
        <v>Justin Case</v>
      </c>
      <c r="D28" s="1">
        <v>45735</v>
      </c>
      <c r="E28" s="2">
        <v>75</v>
      </c>
      <c r="F28" t="str">
        <f t="shared" si="0"/>
        <v>2025-03</v>
      </c>
    </row>
    <row r="29" spans="1:6">
      <c r="A29" s="3">
        <v>28</v>
      </c>
      <c r="B29">
        <v>1</v>
      </c>
      <c r="C29" t="str">
        <f>INDEX(customers!D:D,MATCH(B29,customers!A:A,0))</f>
        <v>Jen South</v>
      </c>
      <c r="D29" s="1">
        <v>45301</v>
      </c>
      <c r="E29" s="2">
        <v>120.5</v>
      </c>
      <c r="F29" t="str">
        <f t="shared" si="0"/>
        <v>2024-01</v>
      </c>
    </row>
    <row r="30" spans="1:6">
      <c r="A30" s="3">
        <v>29</v>
      </c>
      <c r="B30">
        <v>1</v>
      </c>
      <c r="C30" t="str">
        <f>INDEX(customers!D:D,MATCH(B30,customers!A:A,0))</f>
        <v>Jen South</v>
      </c>
      <c r="D30" s="1">
        <v>45738</v>
      </c>
      <c r="E30" s="2">
        <v>80</v>
      </c>
      <c r="F30" t="str">
        <f t="shared" si="0"/>
        <v>2025-03</v>
      </c>
    </row>
    <row r="31" spans="1:6">
      <c r="A31" s="3">
        <v>30</v>
      </c>
      <c r="B31">
        <v>2</v>
      </c>
      <c r="C31" t="str">
        <f>INDEX(customers!D:D,MATCH(B31,customers!A:A,0))</f>
        <v>Edward Juan</v>
      </c>
      <c r="D31" s="1">
        <v>45702</v>
      </c>
      <c r="E31" s="2">
        <v>200</v>
      </c>
      <c r="F31" t="str">
        <f t="shared" si="0"/>
        <v>2025-02</v>
      </c>
    </row>
    <row r="32" spans="1:6">
      <c r="A32" s="3">
        <v>31</v>
      </c>
      <c r="B32">
        <v>3</v>
      </c>
      <c r="C32" t="str">
        <f>INDEX(customers!D:D,MATCH(B32,customers!A:A,0))</f>
        <v>Tara Davis</v>
      </c>
      <c r="D32" s="1">
        <v>45356</v>
      </c>
      <c r="E32" s="2">
        <v>50</v>
      </c>
      <c r="F32" t="str">
        <f t="shared" si="0"/>
        <v>2024-03</v>
      </c>
    </row>
    <row r="33" spans="1:6">
      <c r="A33" s="3">
        <v>32</v>
      </c>
      <c r="B33">
        <v>3</v>
      </c>
      <c r="C33" t="str">
        <f>INDEX(customers!D:D,MATCH(B33,customers!A:A,0))</f>
        <v>Tara Davis</v>
      </c>
      <c r="D33" s="1">
        <v>45400</v>
      </c>
      <c r="E33" s="2">
        <v>75</v>
      </c>
      <c r="F33" t="str">
        <f t="shared" si="0"/>
        <v>2024-04</v>
      </c>
    </row>
    <row r="34" spans="1:6">
      <c r="A34" s="3">
        <v>33</v>
      </c>
      <c r="B34">
        <v>4</v>
      </c>
      <c r="C34" t="str">
        <f>INDEX(customers!D:D,MATCH(B34,customers!A:A,0))</f>
        <v>Michael Queen</v>
      </c>
      <c r="D34" s="1">
        <v>45778</v>
      </c>
      <c r="E34" s="2">
        <v>300</v>
      </c>
      <c r="F34" t="str">
        <f t="shared" si="0"/>
        <v>2025-05</v>
      </c>
    </row>
    <row r="35" spans="1:6">
      <c r="A35" s="3">
        <v>34</v>
      </c>
      <c r="B35">
        <v>5</v>
      </c>
      <c r="C35" t="str">
        <f>INDEX(customers!D:D,MATCH(B35,customers!A:A,0))</f>
        <v>Justin Case</v>
      </c>
      <c r="D35" s="1">
        <v>45519</v>
      </c>
      <c r="E35" s="2">
        <v>60</v>
      </c>
      <c r="F35" t="str">
        <f t="shared" si="0"/>
        <v>2024-08</v>
      </c>
    </row>
    <row r="36" spans="1:6">
      <c r="A36" s="3">
        <v>35</v>
      </c>
      <c r="B36">
        <v>5</v>
      </c>
      <c r="C36" t="str">
        <f>INDEX(customers!D:D,MATCH(B36,customers!A:A,0))</f>
        <v>Justin Case</v>
      </c>
      <c r="D36" s="1">
        <v>45664</v>
      </c>
      <c r="E36" s="2">
        <v>150</v>
      </c>
      <c r="F36" t="str">
        <f t="shared" si="0"/>
        <v>2025-01</v>
      </c>
    </row>
    <row r="37" spans="1:6">
      <c r="A37" s="3">
        <v>36</v>
      </c>
      <c r="B37">
        <v>5</v>
      </c>
      <c r="C37" t="str">
        <f>INDEX(customers!D:D,MATCH(B37,customers!A:A,0))</f>
        <v>Justin Case</v>
      </c>
      <c r="D37" s="1">
        <v>45735</v>
      </c>
      <c r="E37" s="2">
        <v>75</v>
      </c>
      <c r="F37" t="str">
        <f t="shared" si="0"/>
        <v>2025-03</v>
      </c>
    </row>
    <row r="38" spans="1:6">
      <c r="A38" s="3">
        <v>37</v>
      </c>
      <c r="B38">
        <v>1</v>
      </c>
      <c r="C38" t="str">
        <f>INDEX(customers!D:D,MATCH(B38,customers!A:A,0))</f>
        <v>Jen South</v>
      </c>
      <c r="D38" s="1">
        <v>45301</v>
      </c>
      <c r="E38" s="2">
        <v>120.5</v>
      </c>
      <c r="F38" t="str">
        <f t="shared" si="0"/>
        <v>2024-01</v>
      </c>
    </row>
    <row r="39" spans="1:6">
      <c r="A39" s="3">
        <v>38</v>
      </c>
      <c r="B39">
        <v>1</v>
      </c>
      <c r="C39" t="str">
        <f>INDEX(customers!D:D,MATCH(B39,customers!A:A,0))</f>
        <v>Jen South</v>
      </c>
      <c r="D39" s="1">
        <v>45738</v>
      </c>
      <c r="E39" s="2">
        <v>80</v>
      </c>
      <c r="F39" t="str">
        <f t="shared" si="0"/>
        <v>2025-03</v>
      </c>
    </row>
    <row r="40" spans="1:6">
      <c r="A40" s="3">
        <v>39</v>
      </c>
      <c r="B40">
        <v>2</v>
      </c>
      <c r="C40" t="str">
        <f>INDEX(customers!D:D,MATCH(B40,customers!A:A,0))</f>
        <v>Edward Juan</v>
      </c>
      <c r="D40" s="1">
        <v>45702</v>
      </c>
      <c r="E40" s="2">
        <v>200</v>
      </c>
      <c r="F40" t="str">
        <f t="shared" si="0"/>
        <v>2025-02</v>
      </c>
    </row>
    <row r="41" spans="1:6">
      <c r="A41" s="3">
        <v>40</v>
      </c>
      <c r="B41">
        <v>3</v>
      </c>
      <c r="C41" t="str">
        <f>INDEX(customers!D:D,MATCH(B41,customers!A:A,0))</f>
        <v>Tara Davis</v>
      </c>
      <c r="D41" s="1">
        <v>45356</v>
      </c>
      <c r="E41" s="2">
        <v>50</v>
      </c>
      <c r="F41" t="str">
        <f t="shared" si="0"/>
        <v>2024-03</v>
      </c>
    </row>
    <row r="42" spans="1:6">
      <c r="A42" s="3">
        <v>41</v>
      </c>
      <c r="B42">
        <v>3</v>
      </c>
      <c r="C42" t="str">
        <f>INDEX(customers!D:D,MATCH(B42,customers!A:A,0))</f>
        <v>Tara Davis</v>
      </c>
      <c r="D42" s="1">
        <v>45400</v>
      </c>
      <c r="E42" s="2">
        <v>75</v>
      </c>
      <c r="F42" t="str">
        <f t="shared" si="0"/>
        <v>2024-04</v>
      </c>
    </row>
    <row r="43" spans="1:6">
      <c r="A43" s="3">
        <v>42</v>
      </c>
      <c r="B43">
        <v>4</v>
      </c>
      <c r="C43" t="str">
        <f>INDEX(customers!D:D,MATCH(B43,customers!A:A,0))</f>
        <v>Michael Queen</v>
      </c>
      <c r="D43" s="1">
        <v>45778</v>
      </c>
      <c r="E43" s="2">
        <v>300</v>
      </c>
      <c r="F43" t="str">
        <f t="shared" si="0"/>
        <v>2025-05</v>
      </c>
    </row>
    <row r="44" spans="1:6">
      <c r="A44" s="3">
        <v>43</v>
      </c>
      <c r="B44">
        <v>5</v>
      </c>
      <c r="C44" t="str">
        <f>INDEX(customers!D:D,MATCH(B44,customers!A:A,0))</f>
        <v>Justin Case</v>
      </c>
      <c r="D44" s="1">
        <v>45519</v>
      </c>
      <c r="E44" s="2">
        <v>60</v>
      </c>
      <c r="F44" t="str">
        <f t="shared" si="0"/>
        <v>2024-08</v>
      </c>
    </row>
    <row r="45" spans="1:6">
      <c r="A45" s="3">
        <v>44</v>
      </c>
      <c r="B45">
        <v>5</v>
      </c>
      <c r="C45" t="str">
        <f>INDEX(customers!D:D,MATCH(B45,customers!A:A,0))</f>
        <v>Justin Case</v>
      </c>
      <c r="D45" s="1">
        <v>45664</v>
      </c>
      <c r="E45" s="2">
        <v>150</v>
      </c>
      <c r="F45" t="str">
        <f t="shared" si="0"/>
        <v>2025-01</v>
      </c>
    </row>
    <row r="46" spans="1:6">
      <c r="A46" s="3">
        <v>45</v>
      </c>
      <c r="B46">
        <v>5</v>
      </c>
      <c r="C46" t="str">
        <f>INDEX(customers!D:D,MATCH(B46,customers!A:A,0))</f>
        <v>Justin Case</v>
      </c>
      <c r="D46" s="1">
        <v>45735</v>
      </c>
      <c r="E46" s="2">
        <v>75</v>
      </c>
      <c r="F46" t="str">
        <f t="shared" si="0"/>
        <v>2025-03</v>
      </c>
    </row>
    <row r="47" spans="1:6">
      <c r="A4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B9C0-0CB0-4C35-9296-D6B834568CA2}">
  <dimension ref="A3:B12"/>
  <sheetViews>
    <sheetView workbookViewId="0">
      <selection activeCell="A3" sqref="A3:B8"/>
    </sheetView>
  </sheetViews>
  <sheetFormatPr defaultRowHeight="15"/>
  <cols>
    <col min="1" max="1" width="15.42578125" customWidth="1"/>
    <col min="2" max="2" width="21.140625" bestFit="1" customWidth="1"/>
    <col min="4" max="4" width="13.140625" bestFit="1" customWidth="1"/>
  </cols>
  <sheetData>
    <row r="3" spans="1:2">
      <c r="A3" s="5" t="s">
        <v>39</v>
      </c>
      <c r="B3" t="s">
        <v>28</v>
      </c>
    </row>
    <row r="4" spans="1:2">
      <c r="A4" t="s">
        <v>42</v>
      </c>
      <c r="B4" s="6">
        <v>1000</v>
      </c>
    </row>
    <row r="5" spans="1:2">
      <c r="A5" t="s">
        <v>43</v>
      </c>
      <c r="B5" s="6">
        <v>1002.5</v>
      </c>
    </row>
    <row r="6" spans="1:2">
      <c r="A6" t="s">
        <v>44</v>
      </c>
      <c r="B6" s="6">
        <v>1425</v>
      </c>
    </row>
    <row r="7" spans="1:2">
      <c r="A7" t="s">
        <v>45</v>
      </c>
      <c r="B7" s="6">
        <v>1500</v>
      </c>
    </row>
    <row r="8" spans="1:2">
      <c r="A8" t="s">
        <v>46</v>
      </c>
      <c r="B8" s="6">
        <v>625</v>
      </c>
    </row>
    <row r="9" spans="1:2">
      <c r="A9" t="s">
        <v>37</v>
      </c>
      <c r="B9" s="6">
        <v>5552.5</v>
      </c>
    </row>
    <row r="12" spans="1:2">
      <c r="A1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FB87-7AEC-4179-BD0D-208A5BEA0D05}">
  <dimension ref="A1:K52"/>
  <sheetViews>
    <sheetView showGridLines="0" tabSelected="1" workbookViewId="0">
      <selection activeCell="H4" sqref="H4"/>
    </sheetView>
  </sheetViews>
  <sheetFormatPr defaultColWidth="9.140625" defaultRowHeight="15"/>
  <cols>
    <col min="1" max="1" width="11" customWidth="1"/>
    <col min="10" max="10" width="16.7109375" customWidth="1"/>
    <col min="11" max="11" width="24.5703125" customWidth="1"/>
  </cols>
  <sheetData>
    <row r="1" spans="1:8" ht="33.75">
      <c r="A1" s="15" t="s">
        <v>47</v>
      </c>
    </row>
    <row r="3" spans="1:8" s="11" customFormat="1" ht="18.75">
      <c r="A3" s="11" t="s">
        <v>48</v>
      </c>
      <c r="C3" s="11" t="s">
        <v>49</v>
      </c>
      <c r="E3" s="11" t="s">
        <v>50</v>
      </c>
      <c r="H3" s="12" t="s">
        <v>51</v>
      </c>
    </row>
    <row r="4" spans="1:8" s="9" customFormat="1" ht="15.75">
      <c r="A4" s="8">
        <f>SUM(orders!E:E)</f>
        <v>5552.5</v>
      </c>
      <c r="C4" s="10">
        <f>COUNTA(orders!A:A)-1</f>
        <v>45</v>
      </c>
      <c r="E4" s="10">
        <v>5</v>
      </c>
      <c r="H4" s="8">
        <f>AVERAGE(orders!E:E)</f>
        <v>123.38888888888889</v>
      </c>
    </row>
    <row r="49" spans="3:5" ht="18.75">
      <c r="C49" s="11" t="s">
        <v>52</v>
      </c>
      <c r="E49" s="11" t="s">
        <v>53</v>
      </c>
    </row>
    <row r="50" spans="3:5" ht="15.75">
      <c r="C50" s="13" t="s">
        <v>54</v>
      </c>
      <c r="E50" s="9">
        <f>COUNTIF(customers!E:E,C50)</f>
        <v>1</v>
      </c>
    </row>
    <row r="51" spans="3:5" ht="15.75">
      <c r="C51" s="14" t="s">
        <v>55</v>
      </c>
      <c r="E51" s="9">
        <f>COUNTIF(customers!E:E,C51)</f>
        <v>2</v>
      </c>
    </row>
    <row r="52" spans="3:5" ht="15.75">
      <c r="C52" s="14" t="s">
        <v>56</v>
      </c>
      <c r="E52" s="9">
        <f>COUNTIF(customers!E:E,C52)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2026-07-03T22:31:40Z</dcterms:created>
  <dcterms:modified xsi:type="dcterms:W3CDTF">2026-08-20T22:02:08Z</dcterms:modified>
  <cp:category/>
  <cp:contentStatus/>
</cp:coreProperties>
</file>